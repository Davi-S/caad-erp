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s" sheetId="2" state="visible" r:id="rId2"/>
    <sheet name="Salesmen" sheetId="3" state="visible" r:id="rId3"/>
    <sheet name="Transaction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Distribution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'Dashboard'!E1</f>
            </strRef>
          </tx>
          <spPr>
            <a:ln>
              <a:prstDash val="solid"/>
            </a:ln>
          </spPr>
          <cat>
            <numRef>
              <f>'Dashboard'!$D$2:$D$5</f>
            </numRef>
          </cat>
          <val>
            <numRef>
              <f>'Dashboard'!$E$2:$E$5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22" customWidth="1" min="4" max="4"/>
    <col width="18" customWidth="1" min="5" max="5"/>
    <col width="14" customWidth="1" min="6" max="6"/>
  </cols>
  <sheetData>
    <row r="1">
      <c r="A1" s="1" t="inlineStr">
        <is>
          <t>CAAD ERP Executive Summary</t>
        </is>
      </c>
      <c r="D1" s="2" t="inlineStr">
        <is>
          <t>Payment Type</t>
        </is>
      </c>
      <c r="E1" s="2" t="inlineStr">
        <is>
          <t>Revenue</t>
        </is>
      </c>
      <c r="F1" s="2" t="inlineStr">
        <is>
          <t>Share %</t>
        </is>
      </c>
    </row>
    <row r="2">
      <c r="A2" s="3" t="inlineStr">
        <is>
          <t>Total Revenue</t>
        </is>
      </c>
      <c r="B2" s="4">
        <f>SUM(TransactionLog!H:H)/100</f>
        <v/>
      </c>
      <c r="D2" t="inlineStr">
        <is>
          <t>Cash</t>
        </is>
      </c>
      <c r="E2" s="4">
        <f>SUMIFS(TransactionLog!H:H, TransactionLog!F:F, "Cash", TransactionLog!C:C, "SALE")/100</f>
        <v/>
      </c>
      <c r="F2" s="5">
        <f>IFERROR(E2/$B$2, 0)</f>
        <v/>
      </c>
    </row>
    <row r="3">
      <c r="A3" s="3" t="inlineStr">
        <is>
          <t>Total Costs / Expenses</t>
        </is>
      </c>
      <c r="B3" s="4">
        <f>SUM(TransactionLog!I:I)/100</f>
        <v/>
      </c>
      <c r="D3" t="inlineStr">
        <is>
          <t>PIX</t>
        </is>
      </c>
      <c r="E3" s="4">
        <f>SUMIFS(TransactionLog!H:H, TransactionLog!F:F, "PIX", TransactionLog!C:C, "SALE")/100</f>
        <v/>
      </c>
      <c r="F3" s="5">
        <f>IFERROR(E3/$B$2, 0)</f>
        <v/>
      </c>
    </row>
    <row r="4">
      <c r="A4" s="3" t="inlineStr">
        <is>
          <t>Net Profit</t>
        </is>
      </c>
      <c r="B4" s="4">
        <f>B2+B3</f>
        <v/>
      </c>
      <c r="D4" t="inlineStr">
        <is>
          <t>OnCredit</t>
        </is>
      </c>
      <c r="E4" s="4">
        <f>SUMIFS(TransactionLog!H:H, TransactionLog!F:F, "OnCredit", TransactionLog!C:C, "SALE")/100</f>
        <v/>
      </c>
      <c r="F4" s="5">
        <f>IFERROR(E4/$B$2, 0)</f>
        <v/>
      </c>
    </row>
    <row r="5">
      <c r="A5" s="3" t="inlineStr">
        <is>
          <t>Profit Margin</t>
        </is>
      </c>
      <c r="B5" s="5">
        <f>IFERROR((B2+B3)/B2, 0)</f>
        <v/>
      </c>
      <c r="D5" t="inlineStr">
        <is>
          <t>Other</t>
        </is>
      </c>
      <c r="E5" s="4">
        <f>SUMIFS(TransactionLog!H:H, TransactionLog!F:F, "Other", TransactionLog!C:C, "SALE")/100</f>
        <v/>
      </c>
      <c r="F5" s="5">
        <f>IFERROR(E5/$B$2, 0)</f>
        <v/>
      </c>
    </row>
    <row r="6">
      <c r="A6" s="3" t="inlineStr">
        <is>
          <t>Outstanding Debts</t>
        </is>
      </c>
      <c r="B6" s="4">
        <f>(SUMIF(TransactionLog!F:F, "OnCredit", TransactionLog!H:H) - SUMIF(TransactionLog!C:C, "CREDIT_PAYMENT", TransactionLog!H:H))/100</f>
        <v/>
      </c>
    </row>
    <row r="16">
      <c r="A16" s="2" t="inlineStr">
        <is>
          <t>Salesman Name</t>
        </is>
      </c>
      <c r="B16" s="2" t="inlineStr">
        <is>
          <t>Deals Closed</t>
        </is>
      </c>
      <c r="C16" s="2" t="inlineStr">
        <is>
          <t>Deals Rank</t>
        </is>
      </c>
      <c r="D16" s="2" t="inlineStr">
        <is>
          <t>Total Revenue</t>
        </is>
      </c>
      <c r="E16" s="2" t="inlineStr">
        <is>
          <t>Revenue Rank</t>
        </is>
      </c>
      <c r="F16" s="2" t="inlineStr">
        <is>
          <t>% of Total</t>
        </is>
      </c>
    </row>
    <row r="17">
      <c r="A17">
        <f>IF(Salesmen!B2="","",Salesmen!B2)</f>
        <v/>
      </c>
      <c r="B17">
        <f>IF(A17="","",COUNTIFS(TransactionLog!E:E, Salesmen!A2, TransactionLog!C:C, "SALE"))</f>
        <v/>
      </c>
      <c r="C17">
        <f>IF(A17="","",RANK(B17, $B$17:$B$26))</f>
        <v/>
      </c>
      <c r="D17" s="4">
        <f>IF(A17="","",SUMIFS(TransactionLog!H:H, TransactionLog!E:E, Salesmen!A2, TransactionLog!C:C, "SALE")/100)</f>
        <v/>
      </c>
      <c r="E17">
        <f>IF(A17="","",RANK(D17, $D$17:$D$26))</f>
        <v/>
      </c>
      <c r="F17" s="5">
        <f>IF(A17="","",IFERROR(D17/$B$2, 0))</f>
        <v/>
      </c>
    </row>
    <row r="18">
      <c r="A18">
        <f>IF(Salesmen!B3="","",Salesmen!B3)</f>
        <v/>
      </c>
      <c r="B18">
        <f>IF(A18="","",COUNTIFS(TransactionLog!E:E, Salesmen!A3, TransactionLog!C:C, "SALE"))</f>
        <v/>
      </c>
      <c r="C18">
        <f>IF(A18="","",RANK(B18, $B$17:$B$26))</f>
        <v/>
      </c>
      <c r="D18" s="4">
        <f>IF(A18="","",SUMIFS(TransactionLog!H:H, TransactionLog!E:E, Salesmen!A3, TransactionLog!C:C, "SALE")/100)</f>
        <v/>
      </c>
      <c r="E18">
        <f>IF(A18="","",RANK(D18, $D$17:$D$26))</f>
        <v/>
      </c>
      <c r="F18" s="5">
        <f>IF(A18="","",IFERROR(D18/$B$2, 0))</f>
        <v/>
      </c>
    </row>
    <row r="19">
      <c r="A19">
        <f>IF(Salesmen!B4="","",Salesmen!B4)</f>
        <v/>
      </c>
      <c r="B19">
        <f>IF(A19="","",COUNTIFS(TransactionLog!E:E, Salesmen!A4, TransactionLog!C:C, "SALE"))</f>
        <v/>
      </c>
      <c r="C19">
        <f>IF(A19="","",RANK(B19, $B$17:$B$26))</f>
        <v/>
      </c>
      <c r="D19" s="4">
        <f>IF(A19="","",SUMIFS(TransactionLog!H:H, TransactionLog!E:E, Salesmen!A4, TransactionLog!C:C, "SALE")/100)</f>
        <v/>
      </c>
      <c r="E19">
        <f>IF(A19="","",RANK(D19, $D$17:$D$26))</f>
        <v/>
      </c>
      <c r="F19" s="5">
        <f>IF(A19="","",IFERROR(D19/$B$2, 0))</f>
        <v/>
      </c>
    </row>
    <row r="20">
      <c r="A20">
        <f>IF(Salesmen!B5="","",Salesmen!B5)</f>
        <v/>
      </c>
      <c r="B20">
        <f>IF(A20="","",COUNTIFS(TransactionLog!E:E, Salesmen!A5, TransactionLog!C:C, "SALE"))</f>
        <v/>
      </c>
      <c r="C20">
        <f>IF(A20="","",RANK(B20, $B$17:$B$26))</f>
        <v/>
      </c>
      <c r="D20" s="4">
        <f>IF(A20="","",SUMIFS(TransactionLog!H:H, TransactionLog!E:E, Salesmen!A5, TransactionLog!C:C, "SALE")/100)</f>
        <v/>
      </c>
      <c r="E20">
        <f>IF(A20="","",RANK(D20, $D$17:$D$26))</f>
        <v/>
      </c>
      <c r="F20" s="5">
        <f>IF(A20="","",IFERROR(D20/$B$2, 0))</f>
        <v/>
      </c>
    </row>
    <row r="21">
      <c r="A21">
        <f>IF(Salesmen!B6="","",Salesmen!B6)</f>
        <v/>
      </c>
      <c r="B21">
        <f>IF(A21="","",COUNTIFS(TransactionLog!E:E, Salesmen!A6, TransactionLog!C:C, "SALE"))</f>
        <v/>
      </c>
      <c r="C21">
        <f>IF(A21="","",RANK(B21, $B$17:$B$26))</f>
        <v/>
      </c>
      <c r="D21" s="4">
        <f>IF(A21="","",SUMIFS(TransactionLog!H:H, TransactionLog!E:E, Salesmen!A6, TransactionLog!C:C, "SALE")/100)</f>
        <v/>
      </c>
      <c r="E21">
        <f>IF(A21="","",RANK(D21, $D$17:$D$26))</f>
        <v/>
      </c>
      <c r="F21" s="5">
        <f>IF(A21="","",IFERROR(D21/$B$2, 0))</f>
        <v/>
      </c>
    </row>
    <row r="22">
      <c r="A22">
        <f>IF(Salesmen!B7="","",Salesmen!B7)</f>
        <v/>
      </c>
      <c r="B22">
        <f>IF(A22="","",COUNTIFS(TransactionLog!E:E, Salesmen!A7, TransactionLog!C:C, "SALE"))</f>
        <v/>
      </c>
      <c r="C22">
        <f>IF(A22="","",RANK(B22, $B$17:$B$26))</f>
        <v/>
      </c>
      <c r="D22" s="4">
        <f>IF(A22="","",SUMIFS(TransactionLog!H:H, TransactionLog!E:E, Salesmen!A7, TransactionLog!C:C, "SALE")/100)</f>
        <v/>
      </c>
      <c r="E22">
        <f>IF(A22="","",RANK(D22, $D$17:$D$26))</f>
        <v/>
      </c>
      <c r="F22" s="5">
        <f>IF(A22="","",IFERROR(D22/$B$2, 0))</f>
        <v/>
      </c>
    </row>
    <row r="23">
      <c r="A23">
        <f>IF(Salesmen!B8="","",Salesmen!B8)</f>
        <v/>
      </c>
      <c r="B23">
        <f>IF(A23="","",COUNTIFS(TransactionLog!E:E, Salesmen!A8, TransactionLog!C:C, "SALE"))</f>
        <v/>
      </c>
      <c r="C23">
        <f>IF(A23="","",RANK(B23, $B$17:$B$26))</f>
        <v/>
      </c>
      <c r="D23" s="4">
        <f>IF(A23="","",SUMIFS(TransactionLog!H:H, TransactionLog!E:E, Salesmen!A8, TransactionLog!C:C, "SALE")/100)</f>
        <v/>
      </c>
      <c r="E23">
        <f>IF(A23="","",RANK(D23, $D$17:$D$26))</f>
        <v/>
      </c>
      <c r="F23" s="5">
        <f>IF(A23="","",IFERROR(D23/$B$2, 0))</f>
        <v/>
      </c>
    </row>
    <row r="24">
      <c r="A24">
        <f>IF(Salesmen!B9="","",Salesmen!B9)</f>
        <v/>
      </c>
      <c r="B24">
        <f>IF(A24="","",COUNTIFS(TransactionLog!E:E, Salesmen!A9, TransactionLog!C:C, "SALE"))</f>
        <v/>
      </c>
      <c r="C24">
        <f>IF(A24="","",RANK(B24, $B$17:$B$26))</f>
        <v/>
      </c>
      <c r="D24" s="4">
        <f>IF(A24="","",SUMIFS(TransactionLog!H:H, TransactionLog!E:E, Salesmen!A9, TransactionLog!C:C, "SALE")/100)</f>
        <v/>
      </c>
      <c r="E24">
        <f>IF(A24="","",RANK(D24, $D$17:$D$26))</f>
        <v/>
      </c>
      <c r="F24" s="5">
        <f>IF(A24="","",IFERROR(D24/$B$2, 0))</f>
        <v/>
      </c>
    </row>
    <row r="25">
      <c r="A25">
        <f>IF(Salesmen!B10="","",Salesmen!B10)</f>
        <v/>
      </c>
      <c r="B25">
        <f>IF(A25="","",COUNTIFS(TransactionLog!E:E, Salesmen!A10, TransactionLog!C:C, "SALE"))</f>
        <v/>
      </c>
      <c r="C25">
        <f>IF(A25="","",RANK(B25, $B$17:$B$26))</f>
        <v/>
      </c>
      <c r="D25" s="4">
        <f>IF(A25="","",SUMIFS(TransactionLog!H:H, TransactionLog!E:E, Salesmen!A10, TransactionLog!C:C, "SALE")/100)</f>
        <v/>
      </c>
      <c r="E25">
        <f>IF(A25="","",RANK(D25, $D$17:$D$26))</f>
        <v/>
      </c>
      <c r="F25" s="5">
        <f>IF(A25="","",IFERROR(D25/$B$2, 0))</f>
        <v/>
      </c>
    </row>
    <row r="26">
      <c r="A26">
        <f>IF(Salesmen!B11="","",Salesmen!B11)</f>
        <v/>
      </c>
      <c r="B26">
        <f>IF(A26="","",COUNTIFS(TransactionLog!E:E, Salesmen!A11, TransactionLog!C:C, "SALE"))</f>
        <v/>
      </c>
      <c r="C26">
        <f>IF(A26="","",RANK(B26, $B$17:$B$26))</f>
        <v/>
      </c>
      <c r="D26" s="4">
        <f>IF(A26="","",SUMIFS(TransactionLog!H:H, TransactionLog!E:E, Salesmen!A11, TransactionLog!C:C, "SALE")/100)</f>
        <v/>
      </c>
      <c r="E26">
        <f>IF(A26="","",RANK(D26, $D$17:$D$26))</f>
        <v/>
      </c>
      <c r="F26" s="5">
        <f>IF(A26="","",IFERROR(D26/$B$2, 0))</f>
        <v/>
      </c>
    </row>
    <row r="28">
      <c r="A28" s="2" t="inlineStr">
        <is>
          <t>ProductID</t>
        </is>
      </c>
      <c r="B28" s="2" t="inlineStr">
        <is>
          <t>ProductName</t>
        </is>
      </c>
      <c r="C28" s="2" t="inlineStr">
        <is>
          <t>Stock On Hand</t>
        </is>
      </c>
      <c r="D28" s="2" t="inlineStr">
        <is>
          <t>Total Sales Revenue</t>
        </is>
      </c>
      <c r="E28" s="2" t="inlineStr">
        <is>
          <t>Stock Status Alert</t>
        </is>
      </c>
    </row>
    <row r="29">
      <c r="A29">
        <f>IF(Products!A2="","",Products!A2)</f>
        <v/>
      </c>
      <c r="B29">
        <f>IF(A29="","",Products!B2)</f>
        <v/>
      </c>
      <c r="C29">
        <f>IF(A29="","",SUMIF(TransactionLog!D:D, A29, TransactionLog!G:G))</f>
        <v/>
      </c>
      <c r="D29" s="4">
        <f>IF(A29="","",SUMIFS(TransactionLog!H:H, TransactionLog!D:D, A29, TransactionLog!C:C, "SALE")/100)</f>
        <v/>
      </c>
      <c r="E29">
        <f>IF(A29="","",IF(C29&lt;=0, "OUT OF STOCK", IF(C29&lt;=5, "LOW STOCK", "OK")))</f>
        <v/>
      </c>
    </row>
    <row r="30">
      <c r="A30">
        <f>IF(Products!A3="","",Products!A3)</f>
        <v/>
      </c>
      <c r="B30">
        <f>IF(A30="","",Products!B3)</f>
        <v/>
      </c>
      <c r="C30">
        <f>IF(A30="","",SUMIF(TransactionLog!D:D, A30, TransactionLog!G:G))</f>
        <v/>
      </c>
      <c r="D30" s="4">
        <f>IF(A30="","",SUMIFS(TransactionLog!H:H, TransactionLog!D:D, A30, TransactionLog!C:C, "SALE")/100)</f>
        <v/>
      </c>
      <c r="E30">
        <f>IF(A30="","",IF(C30&lt;=0, "OUT OF STOCK", IF(C30&lt;=5, "LOW STOCK", "OK")))</f>
        <v/>
      </c>
    </row>
    <row r="31">
      <c r="A31">
        <f>IF(Products!A4="","",Products!A4)</f>
        <v/>
      </c>
      <c r="B31">
        <f>IF(A31="","",Products!B4)</f>
        <v/>
      </c>
      <c r="C31">
        <f>IF(A31="","",SUMIF(TransactionLog!D:D, A31, TransactionLog!G:G))</f>
        <v/>
      </c>
      <c r="D31" s="4">
        <f>IF(A31="","",SUMIFS(TransactionLog!H:H, TransactionLog!D:D, A31, TransactionLog!C:C, "SALE")/100)</f>
        <v/>
      </c>
      <c r="E31">
        <f>IF(A31="","",IF(C31&lt;=0, "OUT OF STOCK", IF(C31&lt;=5, "LOW STOCK", "OK")))</f>
        <v/>
      </c>
    </row>
    <row r="32">
      <c r="A32">
        <f>IF(Products!A5="","",Products!A5)</f>
        <v/>
      </c>
      <c r="B32">
        <f>IF(A32="","",Products!B5)</f>
        <v/>
      </c>
      <c r="C32">
        <f>IF(A32="","",SUMIF(TransactionLog!D:D, A32, TransactionLog!G:G))</f>
        <v/>
      </c>
      <c r="D32" s="4">
        <f>IF(A32="","",SUMIFS(TransactionLog!H:H, TransactionLog!D:D, A32, TransactionLog!C:C, "SALE")/100)</f>
        <v/>
      </c>
      <c r="E32">
        <f>IF(A32="","",IF(C32&lt;=0, "OUT OF STOCK", IF(C32&lt;=5, "LOW STOCK", "OK")))</f>
        <v/>
      </c>
    </row>
    <row r="33">
      <c r="A33">
        <f>IF(Products!A6="","",Products!A6)</f>
        <v/>
      </c>
      <c r="B33">
        <f>IF(A33="","",Products!B6)</f>
        <v/>
      </c>
      <c r="C33">
        <f>IF(A33="","",SUMIF(TransactionLog!D:D, A33, TransactionLog!G:G))</f>
        <v/>
      </c>
      <c r="D33" s="4">
        <f>IF(A33="","",SUMIFS(TransactionLog!H:H, TransactionLog!D:D, A33, TransactionLog!C:C, "SALE")/100)</f>
        <v/>
      </c>
      <c r="E33">
        <f>IF(A33="","",IF(C33&lt;=0, "OUT OF STOCK", IF(C33&lt;=5, "LOW STOCK", "OK")))</f>
        <v/>
      </c>
    </row>
    <row r="34">
      <c r="A34">
        <f>IF(Products!A7="","",Products!A7)</f>
        <v/>
      </c>
      <c r="B34">
        <f>IF(A34="","",Products!B7)</f>
        <v/>
      </c>
      <c r="C34">
        <f>IF(A34="","",SUMIF(TransactionLog!D:D, A34, TransactionLog!G:G))</f>
        <v/>
      </c>
      <c r="D34" s="4">
        <f>IF(A34="","",SUMIFS(TransactionLog!H:H, TransactionLog!D:D, A34, TransactionLog!C:C, "SALE")/100)</f>
        <v/>
      </c>
      <c r="E34">
        <f>IF(A34="","",IF(C34&lt;=0, "OUT OF STOCK", IF(C34&lt;=5, "LOW STOCK", "OK")))</f>
        <v/>
      </c>
    </row>
    <row r="35">
      <c r="A35">
        <f>IF(Products!A8="","",Products!A8)</f>
        <v/>
      </c>
      <c r="B35">
        <f>IF(A35="","",Products!B8)</f>
        <v/>
      </c>
      <c r="C35">
        <f>IF(A35="","",SUMIF(TransactionLog!D:D, A35, TransactionLog!G:G))</f>
        <v/>
      </c>
      <c r="D35" s="4">
        <f>IF(A35="","",SUMIFS(TransactionLog!H:H, TransactionLog!D:D, A35, TransactionLog!C:C, "SALE")/100)</f>
        <v/>
      </c>
      <c r="E35">
        <f>IF(A35="","",IF(C35&lt;=0, "OUT OF STOCK", IF(C35&lt;=5, "LOW STOCK", "OK")))</f>
        <v/>
      </c>
    </row>
    <row r="36">
      <c r="A36">
        <f>IF(Products!A9="","",Products!A9)</f>
        <v/>
      </c>
      <c r="B36">
        <f>IF(A36="","",Products!B9)</f>
        <v/>
      </c>
      <c r="C36">
        <f>IF(A36="","",SUMIF(TransactionLog!D:D, A36, TransactionLog!G:G))</f>
        <v/>
      </c>
      <c r="D36" s="4">
        <f>IF(A36="","",SUMIFS(TransactionLog!H:H, TransactionLog!D:D, A36, TransactionLog!C:C, "SALE")/100)</f>
        <v/>
      </c>
      <c r="E36">
        <f>IF(A36="","",IF(C36&lt;=0, "OUT OF STOCK", IF(C36&lt;=5, "LOW STOCK", "OK")))</f>
        <v/>
      </c>
    </row>
    <row r="37">
      <c r="A37">
        <f>IF(Products!A10="","",Products!A10)</f>
        <v/>
      </c>
      <c r="B37">
        <f>IF(A37="","",Products!B10)</f>
        <v/>
      </c>
      <c r="C37">
        <f>IF(A37="","",SUMIF(TransactionLog!D:D, A37, TransactionLog!G:G))</f>
        <v/>
      </c>
      <c r="D37" s="4">
        <f>IF(A37="","",SUMIFS(TransactionLog!H:H, TransactionLog!D:D, A37, TransactionLog!C:C, "SALE")/100)</f>
        <v/>
      </c>
      <c r="E37">
        <f>IF(A37="","",IF(C37&lt;=0, "OUT OF STOCK", IF(C37&lt;=5, "LOW STOCK", "OK")))</f>
        <v/>
      </c>
    </row>
    <row r="38">
      <c r="A38">
        <f>IF(Products!A11="","",Products!A11)</f>
        <v/>
      </c>
      <c r="B38">
        <f>IF(A38="","",Products!B11)</f>
        <v/>
      </c>
      <c r="C38">
        <f>IF(A38="","",SUMIF(TransactionLog!D:D, A38, TransactionLog!G:G))</f>
        <v/>
      </c>
      <c r="D38" s="4">
        <f>IF(A38="","",SUMIFS(TransactionLog!H:H, TransactionLog!D:D, A38, TransactionLog!C:C, "SALE")/100)</f>
        <v/>
      </c>
      <c r="E38">
        <f>IF(A38="","",IF(C38&lt;=0, "OUT OF STOCK", IF(C38&lt;=5, "LOW STOCK", "OK")))</f>
        <v/>
      </c>
    </row>
    <row r="39">
      <c r="A39">
        <f>IF(Products!A12="","",Products!A12)</f>
        <v/>
      </c>
      <c r="B39">
        <f>IF(A39="","",Products!B12)</f>
        <v/>
      </c>
      <c r="C39">
        <f>IF(A39="","",SUMIF(TransactionLog!D:D, A39, TransactionLog!G:G))</f>
        <v/>
      </c>
      <c r="D39" s="4">
        <f>IF(A39="","",SUMIFS(TransactionLog!H:H, TransactionLog!D:D, A39, TransactionLog!C:C, "SALE")/100)</f>
        <v/>
      </c>
      <c r="E39">
        <f>IF(A39="","",IF(C39&lt;=0, "OUT OF STOCK", IF(C39&lt;=5, "LOW STOCK", "OK")))</f>
        <v/>
      </c>
    </row>
    <row r="40">
      <c r="A40">
        <f>IF(Products!A13="","",Products!A13)</f>
        <v/>
      </c>
      <c r="B40">
        <f>IF(A40="","",Products!B13)</f>
        <v/>
      </c>
      <c r="C40">
        <f>IF(A40="","",SUMIF(TransactionLog!D:D, A40, TransactionLog!G:G))</f>
        <v/>
      </c>
      <c r="D40" s="4">
        <f>IF(A40="","",SUMIFS(TransactionLog!H:H, TransactionLog!D:D, A40, TransactionLog!C:C, "SALE")/100)</f>
        <v/>
      </c>
      <c r="E40">
        <f>IF(A40="","",IF(C40&lt;=0, "OUT OF STOCK", IF(C40&lt;=5, "LOW STOCK", "OK")))</f>
        <v/>
      </c>
    </row>
    <row r="41">
      <c r="A41">
        <f>IF(Products!A14="","",Products!A14)</f>
        <v/>
      </c>
      <c r="B41">
        <f>IF(A41="","",Products!B14)</f>
        <v/>
      </c>
      <c r="C41">
        <f>IF(A41="","",SUMIF(TransactionLog!D:D, A41, TransactionLog!G:G))</f>
        <v/>
      </c>
      <c r="D41" s="4">
        <f>IF(A41="","",SUMIFS(TransactionLog!H:H, TransactionLog!D:D, A41, TransactionLog!C:C, "SALE")/100)</f>
        <v/>
      </c>
      <c r="E41">
        <f>IF(A41="","",IF(C41&lt;=0, "OUT OF STOCK", IF(C41&lt;=5, "LOW STOCK", "OK")))</f>
        <v/>
      </c>
    </row>
    <row r="42">
      <c r="A42">
        <f>IF(Products!A15="","",Products!A15)</f>
        <v/>
      </c>
      <c r="B42">
        <f>IF(A42="","",Products!B15)</f>
        <v/>
      </c>
      <c r="C42">
        <f>IF(A42="","",SUMIF(TransactionLog!D:D, A42, TransactionLog!G:G))</f>
        <v/>
      </c>
      <c r="D42" s="4">
        <f>IF(A42="","",SUMIFS(TransactionLog!H:H, TransactionLog!D:D, A42, TransactionLog!C:C, "SALE")/100)</f>
        <v/>
      </c>
      <c r="E42">
        <f>IF(A42="","",IF(C42&lt;=0, "OUT OF STOCK", IF(C42&lt;=5, "LOW STOCK", "OK")))</f>
        <v/>
      </c>
    </row>
    <row r="43">
      <c r="A43">
        <f>IF(Products!A16="","",Products!A16)</f>
        <v/>
      </c>
      <c r="B43">
        <f>IF(A43="","",Products!B16)</f>
        <v/>
      </c>
      <c r="C43">
        <f>IF(A43="","",SUMIF(TransactionLog!D:D, A43, TransactionLog!G:G))</f>
        <v/>
      </c>
      <c r="D43" s="4">
        <f>IF(A43="","",SUMIFS(TransactionLog!H:H, TransactionLog!D:D, A43, TransactionLog!C:C, "SALE")/100)</f>
        <v/>
      </c>
      <c r="E43">
        <f>IF(A43="","",IF(C43&lt;=0, "OUT OF STOCK", IF(C43&lt;=5, "LOW STOCK", "OK")))</f>
        <v/>
      </c>
    </row>
    <row r="44">
      <c r="A44">
        <f>IF(Products!A17="","",Products!A17)</f>
        <v/>
      </c>
      <c r="B44">
        <f>IF(A44="","",Products!B17)</f>
        <v/>
      </c>
      <c r="C44">
        <f>IF(A44="","",SUMIF(TransactionLog!D:D, A44, TransactionLog!G:G))</f>
        <v/>
      </c>
      <c r="D44" s="4">
        <f>IF(A44="","",SUMIFS(TransactionLog!H:H, TransactionLog!D:D, A44, TransactionLog!C:C, "SALE")/100)</f>
        <v/>
      </c>
      <c r="E44">
        <f>IF(A44="","",IF(C44&lt;=0, "OUT OF STOCK", IF(C44&lt;=5, "LOW STOCK", "OK")))</f>
        <v/>
      </c>
    </row>
    <row r="45">
      <c r="A45">
        <f>IF(Products!A18="","",Products!A18)</f>
        <v/>
      </c>
      <c r="B45">
        <f>IF(A45="","",Products!B18)</f>
        <v/>
      </c>
      <c r="C45">
        <f>IF(A45="","",SUMIF(TransactionLog!D:D, A45, TransactionLog!G:G))</f>
        <v/>
      </c>
      <c r="D45" s="4">
        <f>IF(A45="","",SUMIFS(TransactionLog!H:H, TransactionLog!D:D, A45, TransactionLog!C:C, "SALE")/100)</f>
        <v/>
      </c>
      <c r="E45">
        <f>IF(A45="","",IF(C45&lt;=0, "OUT OF STOCK", IF(C45&lt;=5, "LOW STOCK", "OK")))</f>
        <v/>
      </c>
    </row>
    <row r="46">
      <c r="A46">
        <f>IF(Products!A19="","",Products!A19)</f>
        <v/>
      </c>
      <c r="B46">
        <f>IF(A46="","",Products!B19)</f>
        <v/>
      </c>
      <c r="C46">
        <f>IF(A46="","",SUMIF(TransactionLog!D:D, A46, TransactionLog!G:G))</f>
        <v/>
      </c>
      <c r="D46" s="4">
        <f>IF(A46="","",SUMIFS(TransactionLog!H:H, TransactionLog!D:D, A46, TransactionLog!C:C, "SALE")/100)</f>
        <v/>
      </c>
      <c r="E46">
        <f>IF(A46="","",IF(C46&lt;=0, "OUT OF STOCK", IF(C46&lt;=5, "LOW STOCK", "OK")))</f>
        <v/>
      </c>
    </row>
    <row r="47">
      <c r="A47">
        <f>IF(Products!A20="","",Products!A20)</f>
        <v/>
      </c>
      <c r="B47">
        <f>IF(A47="","",Products!B20)</f>
        <v/>
      </c>
      <c r="C47">
        <f>IF(A47="","",SUMIF(TransactionLog!D:D, A47, TransactionLog!G:G))</f>
        <v/>
      </c>
      <c r="D47" s="4">
        <f>IF(A47="","",SUMIFS(TransactionLog!H:H, TransactionLog!D:D, A47, TransactionLog!C:C, "SALE")/100)</f>
        <v/>
      </c>
      <c r="E47">
        <f>IF(A47="","",IF(C47&lt;=0, "OUT OF STOCK", IF(C47&lt;=5, "LOW STOCK", "OK")))</f>
        <v/>
      </c>
    </row>
    <row r="48">
      <c r="A48">
        <f>IF(Products!A21="","",Products!A21)</f>
        <v/>
      </c>
      <c r="B48">
        <f>IF(A48="","",Products!B21)</f>
        <v/>
      </c>
      <c r="C48">
        <f>IF(A48="","",SUMIF(TransactionLog!D:D, A48, TransactionLog!G:G))</f>
        <v/>
      </c>
      <c r="D48" s="4">
        <f>IF(A48="","",SUMIFS(TransactionLog!H:H, TransactionLog!D:D, A48, TransactionLog!C:C, "SALE")/100)</f>
        <v/>
      </c>
      <c r="E48">
        <f>IF(A48="","",IF(C48&lt;=0, "OUT OF STOCK", IF(C48&lt;=5, "LOW STOCK", "OK")))</f>
        <v/>
      </c>
    </row>
    <row r="49">
      <c r="A49">
        <f>IF(Products!A22="","",Products!A22)</f>
        <v/>
      </c>
      <c r="B49">
        <f>IF(A49="","",Products!B22)</f>
        <v/>
      </c>
      <c r="C49">
        <f>IF(A49="","",SUMIF(TransactionLog!D:D, A49, TransactionLog!G:G))</f>
        <v/>
      </c>
      <c r="D49" s="4">
        <f>IF(A49="","",SUMIFS(TransactionLog!H:H, TransactionLog!D:D, A49, TransactionLog!C:C, "SALE")/100)</f>
        <v/>
      </c>
      <c r="E49">
        <f>IF(A49="","",IF(C49&lt;=0, "OUT OF STOCK", IF(C49&lt;=5, "LOW STOCK", "OK")))</f>
        <v/>
      </c>
    </row>
    <row r="50">
      <c r="A50">
        <f>IF(Products!A23="","",Products!A23)</f>
        <v/>
      </c>
      <c r="B50">
        <f>IF(A50="","",Products!B23)</f>
        <v/>
      </c>
      <c r="C50">
        <f>IF(A50="","",SUMIF(TransactionLog!D:D, A50, TransactionLog!G:G))</f>
        <v/>
      </c>
      <c r="D50" s="4">
        <f>IF(A50="","",SUMIFS(TransactionLog!H:H, TransactionLog!D:D, A50, TransactionLog!C:C, "SALE")/100)</f>
        <v/>
      </c>
      <c r="E50">
        <f>IF(A50="","",IF(C50&lt;=0, "OUT OF STOCK", IF(C50&lt;=5, "LOW STOCK", "OK")))</f>
        <v/>
      </c>
    </row>
    <row r="51">
      <c r="A51">
        <f>IF(Products!A24="","",Products!A24)</f>
        <v/>
      </c>
      <c r="B51">
        <f>IF(A51="","",Products!B24)</f>
        <v/>
      </c>
      <c r="C51">
        <f>IF(A51="","",SUMIF(TransactionLog!D:D, A51, TransactionLog!G:G))</f>
        <v/>
      </c>
      <c r="D51" s="4">
        <f>IF(A51="","",SUMIFS(TransactionLog!H:H, TransactionLog!D:D, A51, TransactionLog!C:C, "SALE")/100)</f>
        <v/>
      </c>
      <c r="E51">
        <f>IF(A51="","",IF(C51&lt;=0, "OUT OF STOCK", IF(C51&lt;=5, "LOW STOCK", "OK")))</f>
        <v/>
      </c>
    </row>
    <row r="52">
      <c r="A52">
        <f>IF(Products!A25="","",Products!A25)</f>
        <v/>
      </c>
      <c r="B52">
        <f>IF(A52="","",Products!B25)</f>
        <v/>
      </c>
      <c r="C52">
        <f>IF(A52="","",SUMIF(TransactionLog!D:D, A52, TransactionLog!G:G))</f>
        <v/>
      </c>
      <c r="D52" s="4">
        <f>IF(A52="","",SUMIFS(TransactionLog!H:H, TransactionLog!D:D, A52, TransactionLog!C:C, "SALE")/100)</f>
        <v/>
      </c>
      <c r="E52">
        <f>IF(A52="","",IF(C52&lt;=0, "OUT OF STOCK", IF(C52&lt;=5, "LOW STOCK", "OK")))</f>
        <v/>
      </c>
    </row>
    <row r="53">
      <c r="A53">
        <f>IF(Products!A26="","",Products!A26)</f>
        <v/>
      </c>
      <c r="B53">
        <f>IF(A53="","",Products!B26)</f>
        <v/>
      </c>
      <c r="C53">
        <f>IF(A53="","",SUMIF(TransactionLog!D:D, A53, TransactionLog!G:G))</f>
        <v/>
      </c>
      <c r="D53" s="4">
        <f>IF(A53="","",SUMIFS(TransactionLog!H:H, TransactionLog!D:D, A53, TransactionLog!C:C, "SALE")/100)</f>
        <v/>
      </c>
      <c r="E53">
        <f>IF(A53="","",IF(C53&lt;=0, "OUT OF STOCK", IF(C53&lt;=5, "LOW STOCK", "OK")))</f>
        <v/>
      </c>
    </row>
    <row r="54">
      <c r="A54">
        <f>IF(Products!A27="","",Products!A27)</f>
        <v/>
      </c>
      <c r="B54">
        <f>IF(A54="","",Products!B27)</f>
        <v/>
      </c>
      <c r="C54">
        <f>IF(A54="","",SUMIF(TransactionLog!D:D, A54, TransactionLog!G:G))</f>
        <v/>
      </c>
      <c r="D54" s="4">
        <f>IF(A54="","",SUMIFS(TransactionLog!H:H, TransactionLog!D:D, A54, TransactionLog!C:C, "SALE")/100)</f>
        <v/>
      </c>
      <c r="E54">
        <f>IF(A54="","",IF(C54&lt;=0, "OUT OF STOCK", IF(C54&lt;=5, "LOW STOCK", "OK")))</f>
        <v/>
      </c>
    </row>
    <row r="55">
      <c r="A55">
        <f>IF(Products!A28="","",Products!A28)</f>
        <v/>
      </c>
      <c r="B55">
        <f>IF(A55="","",Products!B28)</f>
        <v/>
      </c>
      <c r="C55">
        <f>IF(A55="","",SUMIF(TransactionLog!D:D, A55, TransactionLog!G:G))</f>
        <v/>
      </c>
      <c r="D55" s="4">
        <f>IF(A55="","",SUMIFS(TransactionLog!H:H, TransactionLog!D:D, A55, TransactionLog!C:C, "SALE")/100)</f>
        <v/>
      </c>
      <c r="E55">
        <f>IF(A55="","",IF(C55&lt;=0, "OUT OF STOCK", IF(C55&lt;=5, "LOW STOCK", "OK")))</f>
        <v/>
      </c>
    </row>
    <row r="56">
      <c r="A56">
        <f>IF(Products!A29="","",Products!A29)</f>
        <v/>
      </c>
      <c r="B56">
        <f>IF(A56="","",Products!B29)</f>
        <v/>
      </c>
      <c r="C56">
        <f>IF(A56="","",SUMIF(TransactionLog!D:D, A56, TransactionLog!G:G))</f>
        <v/>
      </c>
      <c r="D56" s="4">
        <f>IF(A56="","",SUMIFS(TransactionLog!H:H, TransactionLog!D:D, A56, TransactionLog!C:C, "SALE")/100)</f>
        <v/>
      </c>
      <c r="E56">
        <f>IF(A56="","",IF(C56&lt;=0, "OUT OF STOCK", IF(C56&lt;=5, "LOW STOCK", "OK")))</f>
        <v/>
      </c>
    </row>
    <row r="57">
      <c r="A57">
        <f>IF(Products!A30="","",Products!A30)</f>
        <v/>
      </c>
      <c r="B57">
        <f>IF(A57="","",Products!B30)</f>
        <v/>
      </c>
      <c r="C57">
        <f>IF(A57="","",SUMIF(TransactionLog!D:D, A57, TransactionLog!G:G))</f>
        <v/>
      </c>
      <c r="D57" s="4">
        <f>IF(A57="","",SUMIFS(TransactionLog!H:H, TransactionLog!D:D, A57, TransactionLog!C:C, "SALE")/100)</f>
        <v/>
      </c>
      <c r="E57">
        <f>IF(A57="","",IF(C57&lt;=0, "OUT OF STOCK", IF(C57&lt;=5, "LOW STOCK", "OK")))</f>
        <v/>
      </c>
    </row>
    <row r="58">
      <c r="A58">
        <f>IF(Products!A31="","",Products!A31)</f>
        <v/>
      </c>
      <c r="B58">
        <f>IF(A58="","",Products!B31)</f>
        <v/>
      </c>
      <c r="C58">
        <f>IF(A58="","",SUMIF(TransactionLog!D:D, A58, TransactionLog!G:G))</f>
        <v/>
      </c>
      <c r="D58" s="4">
        <f>IF(A58="","",SUMIFS(TransactionLog!H:H, TransactionLog!D:D, A58, TransactionLog!C:C, "SALE")/100)</f>
        <v/>
      </c>
      <c r="E58">
        <f>IF(A58="","",IF(C58&lt;=0, "OUT OF STOCK", IF(C58&lt;=5, "LOW STOCK", "OK")))</f>
        <v/>
      </c>
    </row>
    <row r="59">
      <c r="A59">
        <f>IF(Products!A32="","",Products!A32)</f>
        <v/>
      </c>
      <c r="B59">
        <f>IF(A59="","",Products!B32)</f>
        <v/>
      </c>
      <c r="C59">
        <f>IF(A59="","",SUMIF(TransactionLog!D:D, A59, TransactionLog!G:G))</f>
        <v/>
      </c>
      <c r="D59" s="4">
        <f>IF(A59="","",SUMIFS(TransactionLog!H:H, TransactionLog!D:D, A59, TransactionLog!C:C, "SALE")/100)</f>
        <v/>
      </c>
      <c r="E59">
        <f>IF(A59="","",IF(C59&lt;=0, "OUT OF STOCK", IF(C59&lt;=5, "LOW STOCK", "OK")))</f>
        <v/>
      </c>
    </row>
    <row r="60">
      <c r="A60">
        <f>IF(Products!A33="","",Products!A33)</f>
        <v/>
      </c>
      <c r="B60">
        <f>IF(A60="","",Products!B33)</f>
        <v/>
      </c>
      <c r="C60">
        <f>IF(A60="","",SUMIF(TransactionLog!D:D, A60, TransactionLog!G:G))</f>
        <v/>
      </c>
      <c r="D60" s="4">
        <f>IF(A60="","",SUMIFS(TransactionLog!H:H, TransactionLog!D:D, A60, TransactionLog!C:C, "SALE")/100)</f>
        <v/>
      </c>
      <c r="E60">
        <f>IF(A60="","",IF(C60&lt;=0, "OUT OF STOCK", IF(C60&lt;=5, "LOW STOCK", "OK")))</f>
        <v/>
      </c>
    </row>
    <row r="61">
      <c r="A61">
        <f>IF(Products!A34="","",Products!A34)</f>
        <v/>
      </c>
      <c r="B61">
        <f>IF(A61="","",Products!B34)</f>
        <v/>
      </c>
      <c r="C61">
        <f>IF(A61="","",SUMIF(TransactionLog!D:D, A61, TransactionLog!G:G))</f>
        <v/>
      </c>
      <c r="D61" s="4">
        <f>IF(A61="","",SUMIFS(TransactionLog!H:H, TransactionLog!D:D, A61, TransactionLog!C:C, "SALE")/100)</f>
        <v/>
      </c>
      <c r="E61">
        <f>IF(A61="","",IF(C61&lt;=0, "OUT OF STOCK", IF(C61&lt;=5, "LOW STOCK", "OK")))</f>
        <v/>
      </c>
    </row>
    <row r="62">
      <c r="A62">
        <f>IF(Products!A35="","",Products!A35)</f>
        <v/>
      </c>
      <c r="B62">
        <f>IF(A62="","",Products!B35)</f>
        <v/>
      </c>
      <c r="C62">
        <f>IF(A62="","",SUMIF(TransactionLog!D:D, A62, TransactionLog!G:G))</f>
        <v/>
      </c>
      <c r="D62" s="4">
        <f>IF(A62="","",SUMIFS(TransactionLog!H:H, TransactionLog!D:D, A62, TransactionLog!C:C, "SALE")/100)</f>
        <v/>
      </c>
      <c r="E62">
        <f>IF(A62="","",IF(C62&lt;=0, "OUT OF STOCK", IF(C62&lt;=5, "LOW STOCK", "OK")))</f>
        <v/>
      </c>
    </row>
    <row r="63">
      <c r="A63">
        <f>IF(Products!A36="","",Products!A36)</f>
        <v/>
      </c>
      <c r="B63">
        <f>IF(A63="","",Products!B36)</f>
        <v/>
      </c>
      <c r="C63">
        <f>IF(A63="","",SUMIF(TransactionLog!D:D, A63, TransactionLog!G:G))</f>
        <v/>
      </c>
      <c r="D63" s="4">
        <f>IF(A63="","",SUMIFS(TransactionLog!H:H, TransactionLog!D:D, A63, TransactionLog!C:C, "SALE")/100)</f>
        <v/>
      </c>
      <c r="E63">
        <f>IF(A63="","",IF(C63&lt;=0, "OUT OF STOCK", IF(C63&lt;=5, "LOW STOCK", "OK")))</f>
        <v/>
      </c>
    </row>
    <row r="64">
      <c r="A64">
        <f>IF(Products!A37="","",Products!A37)</f>
        <v/>
      </c>
      <c r="B64">
        <f>IF(A64="","",Products!B37)</f>
        <v/>
      </c>
      <c r="C64">
        <f>IF(A64="","",SUMIF(TransactionLog!D:D, A64, TransactionLog!G:G))</f>
        <v/>
      </c>
      <c r="D64" s="4">
        <f>IF(A64="","",SUMIFS(TransactionLog!H:H, TransactionLog!D:D, A64, TransactionLog!C:C, "SALE")/100)</f>
        <v/>
      </c>
      <c r="E64">
        <f>IF(A64="","",IF(C64&lt;=0, "OUT OF STOCK", IF(C64&lt;=5, "LOW STOCK", "OK")))</f>
        <v/>
      </c>
    </row>
    <row r="65">
      <c r="A65">
        <f>IF(Products!A38="","",Products!A38)</f>
        <v/>
      </c>
      <c r="B65">
        <f>IF(A65="","",Products!B38)</f>
        <v/>
      </c>
      <c r="C65">
        <f>IF(A65="","",SUMIF(TransactionLog!D:D, A65, TransactionLog!G:G))</f>
        <v/>
      </c>
      <c r="D65" s="4">
        <f>IF(A65="","",SUMIFS(TransactionLog!H:H, TransactionLog!D:D, A65, TransactionLog!C:C, "SALE")/100)</f>
        <v/>
      </c>
      <c r="E65">
        <f>IF(A65="","",IF(C65&lt;=0, "OUT OF STOCK", IF(C65&lt;=5, "LOW STOCK", "OK")))</f>
        <v/>
      </c>
    </row>
    <row r="66">
      <c r="A66">
        <f>IF(Products!A39="","",Products!A39)</f>
        <v/>
      </c>
      <c r="B66">
        <f>IF(A66="","",Products!B39)</f>
        <v/>
      </c>
      <c r="C66">
        <f>IF(A66="","",SUMIF(TransactionLog!D:D, A66, TransactionLog!G:G))</f>
        <v/>
      </c>
      <c r="D66" s="4">
        <f>IF(A66="","",SUMIFS(TransactionLog!H:H, TransactionLog!D:D, A66, TransactionLog!C:C, "SALE")/100)</f>
        <v/>
      </c>
      <c r="E66">
        <f>IF(A66="","",IF(C66&lt;=0, "OUT OF STOCK", IF(C66&lt;=5, "LOW STOCK", "OK")))</f>
        <v/>
      </c>
    </row>
    <row r="67">
      <c r="A67">
        <f>IF(Products!A40="","",Products!A40)</f>
        <v/>
      </c>
      <c r="B67">
        <f>IF(A67="","",Products!B40)</f>
        <v/>
      </c>
      <c r="C67">
        <f>IF(A67="","",SUMIF(TransactionLog!D:D, A67, TransactionLog!G:G))</f>
        <v/>
      </c>
      <c r="D67" s="4">
        <f>IF(A67="","",SUMIFS(TransactionLog!H:H, TransactionLog!D:D, A67, TransactionLog!C:C, "SALE")/100)</f>
        <v/>
      </c>
      <c r="E67">
        <f>IF(A67="","",IF(C67&lt;=0, "OUT OF STOCK", IF(C67&lt;=5, "LOW STOCK", "OK")))</f>
        <v/>
      </c>
    </row>
    <row r="68">
      <c r="A68">
        <f>IF(Products!A41="","",Products!A41)</f>
        <v/>
      </c>
      <c r="B68">
        <f>IF(A68="","",Products!B41)</f>
        <v/>
      </c>
      <c r="C68">
        <f>IF(A68="","",SUMIF(TransactionLog!D:D, A68, TransactionLog!G:G))</f>
        <v/>
      </c>
      <c r="D68" s="4">
        <f>IF(A68="","",SUMIFS(TransactionLog!H:H, TransactionLog!D:D, A68, TransactionLog!C:C, "SALE")/100)</f>
        <v/>
      </c>
      <c r="E68">
        <f>IF(A68="","",IF(C68&lt;=0, "OUT OF STOCK", IF(C68&lt;=5, "LOW STOCK", "OK")))</f>
        <v/>
      </c>
    </row>
    <row r="69">
      <c r="A69">
        <f>IF(Products!A42="","",Products!A42)</f>
        <v/>
      </c>
      <c r="B69">
        <f>IF(A69="","",Products!B42)</f>
        <v/>
      </c>
      <c r="C69">
        <f>IF(A69="","",SUMIF(TransactionLog!D:D, A69, TransactionLog!G:G))</f>
        <v/>
      </c>
      <c r="D69" s="4">
        <f>IF(A69="","",SUMIFS(TransactionLog!H:H, TransactionLog!D:D, A69, TransactionLog!C:C, "SALE")/100)</f>
        <v/>
      </c>
      <c r="E69">
        <f>IF(A69="","",IF(C69&lt;=0, "OUT OF STOCK", IF(C69&lt;=5, "LOW STOCK", "OK")))</f>
        <v/>
      </c>
    </row>
    <row r="70">
      <c r="A70">
        <f>IF(Products!A43="","",Products!A43)</f>
        <v/>
      </c>
      <c r="B70">
        <f>IF(A70="","",Products!B43)</f>
        <v/>
      </c>
      <c r="C70">
        <f>IF(A70="","",SUMIF(TransactionLog!D:D, A70, TransactionLog!G:G))</f>
        <v/>
      </c>
      <c r="D70" s="4">
        <f>IF(A70="","",SUMIFS(TransactionLog!H:H, TransactionLog!D:D, A70, TransactionLog!C:C, "SALE")/100)</f>
        <v/>
      </c>
      <c r="E70">
        <f>IF(A70="","",IF(C70&lt;=0, "OUT OF STOCK", IF(C70&lt;=5, "LOW STOCK", "OK")))</f>
        <v/>
      </c>
    </row>
    <row r="71">
      <c r="A71">
        <f>IF(Products!A44="","",Products!A44)</f>
        <v/>
      </c>
      <c r="B71">
        <f>IF(A71="","",Products!B44)</f>
        <v/>
      </c>
      <c r="C71">
        <f>IF(A71="","",SUMIF(TransactionLog!D:D, A71, TransactionLog!G:G))</f>
        <v/>
      </c>
      <c r="D71" s="4">
        <f>IF(A71="","",SUMIFS(TransactionLog!H:H, TransactionLog!D:D, A71, TransactionLog!C:C, "SALE")/100)</f>
        <v/>
      </c>
      <c r="E71">
        <f>IF(A71="","",IF(C71&lt;=0, "OUT OF STOCK", IF(C71&lt;=5, "LOW STOCK", "OK")))</f>
        <v/>
      </c>
    </row>
    <row r="72">
      <c r="A72">
        <f>IF(Products!A45="","",Products!A45)</f>
        <v/>
      </c>
      <c r="B72">
        <f>IF(A72="","",Products!B45)</f>
        <v/>
      </c>
      <c r="C72">
        <f>IF(A72="","",SUMIF(TransactionLog!D:D, A72, TransactionLog!G:G))</f>
        <v/>
      </c>
      <c r="D72" s="4">
        <f>IF(A72="","",SUMIFS(TransactionLog!H:H, TransactionLog!D:D, A72, TransactionLog!C:C, "SALE")/100)</f>
        <v/>
      </c>
      <c r="E72">
        <f>IF(A72="","",IF(C72&lt;=0, "OUT OF STOCK", IF(C72&lt;=5, "LOW STOCK", "OK")))</f>
        <v/>
      </c>
    </row>
    <row r="73">
      <c r="A73">
        <f>IF(Products!A46="","",Products!A46)</f>
        <v/>
      </c>
      <c r="B73">
        <f>IF(A73="","",Products!B46)</f>
        <v/>
      </c>
      <c r="C73">
        <f>IF(A73="","",SUMIF(TransactionLog!D:D, A73, TransactionLog!G:G))</f>
        <v/>
      </c>
      <c r="D73" s="4">
        <f>IF(A73="","",SUMIFS(TransactionLog!H:H, TransactionLog!D:D, A73, TransactionLog!C:C, "SALE")/100)</f>
        <v/>
      </c>
      <c r="E73">
        <f>IF(A73="","",IF(C73&lt;=0, "OUT OF STOCK", IF(C73&lt;=5, "LOW STOCK", "OK")))</f>
        <v/>
      </c>
    </row>
    <row r="74">
      <c r="A74">
        <f>IF(Products!A47="","",Products!A47)</f>
        <v/>
      </c>
      <c r="B74">
        <f>IF(A74="","",Products!B47)</f>
        <v/>
      </c>
      <c r="C74">
        <f>IF(A74="","",SUMIF(TransactionLog!D:D, A74, TransactionLog!G:G))</f>
        <v/>
      </c>
      <c r="D74" s="4">
        <f>IF(A74="","",SUMIFS(TransactionLog!H:H, TransactionLog!D:D, A74, TransactionLog!C:C, "SALE")/100)</f>
        <v/>
      </c>
      <c r="E74">
        <f>IF(A74="","",IF(C74&lt;=0, "OUT OF STOCK", IF(C74&lt;=5, "LOW STOCK", "OK")))</f>
        <v/>
      </c>
    </row>
    <row r="75">
      <c r="A75">
        <f>IF(Products!A48="","",Products!A48)</f>
        <v/>
      </c>
      <c r="B75">
        <f>IF(A75="","",Products!B48)</f>
        <v/>
      </c>
      <c r="C75">
        <f>IF(A75="","",SUMIF(TransactionLog!D:D, A75, TransactionLog!G:G))</f>
        <v/>
      </c>
      <c r="D75" s="4">
        <f>IF(A75="","",SUMIFS(TransactionLog!H:H, TransactionLog!D:D, A75, TransactionLog!C:C, "SALE")/100)</f>
        <v/>
      </c>
      <c r="E75">
        <f>IF(A75="","",IF(C75&lt;=0, "OUT OF STOCK", IF(C75&lt;=5, "LOW STOCK", "OK")))</f>
        <v/>
      </c>
    </row>
    <row r="76">
      <c r="A76">
        <f>IF(Products!A49="","",Products!A49)</f>
        <v/>
      </c>
      <c r="B76">
        <f>IF(A76="","",Products!B49)</f>
        <v/>
      </c>
      <c r="C76">
        <f>IF(A76="","",SUMIF(TransactionLog!D:D, A76, TransactionLog!G:G))</f>
        <v/>
      </c>
      <c r="D76" s="4">
        <f>IF(A76="","",SUMIFS(TransactionLog!H:H, TransactionLog!D:D, A76, TransactionLog!C:C, "SALE")/100)</f>
        <v/>
      </c>
      <c r="E76">
        <f>IF(A76="","",IF(C76&lt;=0, "OUT OF STOCK", IF(C76&lt;=5, "LOW STOCK", "OK")))</f>
        <v/>
      </c>
    </row>
    <row r="77">
      <c r="A77">
        <f>IF(Products!A50="","",Products!A50)</f>
        <v/>
      </c>
      <c r="B77">
        <f>IF(A77="","",Products!B50)</f>
        <v/>
      </c>
      <c r="C77">
        <f>IF(A77="","",SUMIF(TransactionLog!D:D, A77, TransactionLog!G:G))</f>
        <v/>
      </c>
      <c r="D77" s="4">
        <f>IF(A77="","",SUMIFS(TransactionLog!H:H, TransactionLog!D:D, A77, TransactionLog!C:C, "SALE")/100)</f>
        <v/>
      </c>
      <c r="E77">
        <f>IF(A77="","",IF(C77&lt;=0, "OUT OF STOCK", IF(C77&lt;=5, "LOW STOCK", "OK")))</f>
        <v/>
      </c>
    </row>
    <row r="78">
      <c r="A78">
        <f>IF(Products!A51="","",Products!A51)</f>
        <v/>
      </c>
      <c r="B78">
        <f>IF(A78="","",Products!B51)</f>
        <v/>
      </c>
      <c r="C78">
        <f>IF(A78="","",SUMIF(TransactionLog!D:D, A78, TransactionLog!G:G))</f>
        <v/>
      </c>
      <c r="D78" s="4">
        <f>IF(A78="","",SUMIFS(TransactionLog!H:H, TransactionLog!D:D, A78, TransactionLog!C:C, "SALE")/100)</f>
        <v/>
      </c>
      <c r="E78">
        <f>IF(A78="","",IF(C78&lt;=0, "OUT OF STOCK", IF(C78&lt;=5, "LOW STOCK", "OK")))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SellPrice</t>
        </is>
      </c>
      <c r="D1" s="3" t="inlineStr">
        <is>
          <t>IsActive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SalesmanID</t>
        </is>
      </c>
      <c r="B1" s="3" t="inlineStr">
        <is>
          <t>SalesmanName</t>
        </is>
      </c>
      <c r="C1" s="3" t="inlineStr">
        <is>
          <t>IsActive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TransactionID</t>
        </is>
      </c>
      <c r="B1" s="3" t="inlineStr">
        <is>
          <t>Timestamp</t>
        </is>
      </c>
      <c r="C1" s="3" t="inlineStr">
        <is>
          <t>TransactionType</t>
        </is>
      </c>
      <c r="D1" s="3" t="inlineStr">
        <is>
          <t>ProductID</t>
        </is>
      </c>
      <c r="E1" s="3" t="inlineStr">
        <is>
          <t>SalesmanID</t>
        </is>
      </c>
      <c r="F1" s="3" t="inlineStr">
        <is>
          <t>PaymentType</t>
        </is>
      </c>
      <c r="G1" s="3" t="inlineStr">
        <is>
          <t>QuantityChange</t>
        </is>
      </c>
      <c r="H1" s="3" t="inlineStr">
        <is>
          <t>TotalRevenue</t>
        </is>
      </c>
      <c r="I1" s="3" t="inlineStr">
        <is>
          <t>TotalCost</t>
        </is>
      </c>
      <c r="J1" s="3" t="inlineStr">
        <is>
          <t>LinkedTransactionID</t>
        </is>
      </c>
      <c r="K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2026-08-04T15:32:52Z</dcterms:created>
  <dcterms:modified xsi:type="dcterms:W3CDTF">2026-08-04T15:32:52Z</dcterms:modified>
</cp:coreProperties>
</file>